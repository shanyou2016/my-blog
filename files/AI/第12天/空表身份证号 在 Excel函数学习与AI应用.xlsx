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40" windowHeight="15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<sst xmlns="http://schemas.openxmlformats.org/spreadsheetml/2006/main" count="38" uniqueCount="38">
  <si>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序号</t>
  </si>
  <si>
    <t>姓名</t>
  </si>
  <si>
    <t>身份证号</t>
  </si>
  <si>
    <t>出生日期</t>
  </si>
  <si>
    <t>年龄</t>
  </si>
  <si>
    <t>性别</t>
  </si>
  <si>
    <t>袁之</t>
  </si>
  <si>
    <t>430181199706109588</t>
  </si>
  <si>
    <t>周乎</t>
  </si>
  <si>
    <t>362201200303152818</t>
  </si>
  <si>
    <t>邓也</t>
  </si>
  <si>
    <t>430181199812318918</t>
  </si>
  <si>
    <t>孟之</t>
  </si>
  <si>
    <t>432321197508060988</t>
  </si>
  <si>
    <t>伍乎</t>
  </si>
  <si>
    <t>430528198706232818</t>
  </si>
  <si>
    <t>王也</t>
  </si>
  <si>
    <t>411627199901205488</t>
  </si>
  <si>
    <t>陈波</t>
  </si>
  <si>
    <t>430181199412177818</t>
  </si>
  <si>
    <t>潘宇</t>
  </si>
  <si>
    <t>362201200203023088</t>
  </si>
  <si>
    <t>曾之</t>
  </si>
  <si>
    <t>430511198608058018</t>
  </si>
  <si>
    <t>杨成</t>
  </si>
  <si>
    <t>430304199110160288</t>
  </si>
  <si>
    <t>邓云</t>
  </si>
  <si>
    <t>430121199708090418</t>
  </si>
  <si>
    <t>陈之</t>
  </si>
  <si>
    <t>430181199501096488</t>
  </si>
  <si>
    <t>柴乎</t>
  </si>
  <si>
    <t>430626199905098588</t>
  </si>
  <si>
    <t>陈也</t>
  </si>
  <si>
    <t>430321198807112788</t>
  </si>
  <si>
    <t>黄玉</t>
  </si>
  <si>
    <t>430424198708295688</t>
  </si>
  <si>
    <t>黄石</t>
  </si>
  <si>
    <t>430181198807106688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</si>
</sst>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0"/>
      <name val="宋体"/>
      <charset val="134"/>
      <scheme val="minor"/>
    </font>
    <font>
      <b/>
      <sz val="16"/>
      <color theme="0"/>
      <name val="华文细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1" fillId="4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4" borderId="1" xfId="0" applyNumberFormat="1" applyFont="1" applyFill="1" applyBorder="1" applyAlignment="1" applyProtection="1" quotePrefix="1">
      <alignment horizontal="center" vertical="center"/>
    </xf>
    <xf numFmtId="0" fontId="1" fillId="0" borderId="1" xfId="0" applyNumberFormat="1" applyFont="1" applyFill="1" applyBorder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291465</xdr:colOff>
      <xdr:row>13</xdr:row>
      <xdr:rowOff>83820</xdr:rowOff>
    </xdr:from>
    <xdr:ext cx="310515" cy="274320"/>
    <xdr:sp>
      <xdr:nvSpPr>
        <xdr:cNvPr id="2" name="文本框 1"/>
        <xdr:cNvSpPr txBox="1"/>
      </xdr:nvSpPr>
      <xdr:spPr>
        <a:xfrm>
          <a:off x="5054600" y="3639820"/>
          <a:ext cx="31051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I13" sqref="I13"/>
    </sheetView>
  </sheetViews>
  <sheetFormatPr defaultColWidth="8.89423076923077" defaultRowHeight="23.2" outlineLevelCol="5"/>
  <cols>
    <col min="1" max="1" width="8.89423076923077" style="2"/>
    <col min="2" max="2" width="10.8942307692308" style="2" customWidth="1"/>
    <col min="3" max="3" width="33.8942307692308" style="2" customWidth="1"/>
    <col min="4" max="4" width="18.4423076923077" style="2" customWidth="1"/>
    <col min="5" max="6" width="8.33653846153846" style="2" customWidth="1"/>
    <col min="7" max="16384" width="8.89423076923077" style="2"/>
  </cols>
  <sheetData>
    <row r="1" ht="40" customHeight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="1" customFormat="1" ht="20" customHeight="1" spans="1:6">
      <c r="A2" s="5">
        <v>1</v>
      </c>
      <c r="B2" s="5" t="s">
        <v>6</v>
      </c>
      <c r="C2" s="7" t="s">
        <v>7</v>
      </c>
      <c r="D2" s="5" t="str">
        <f>MID(C2,7,8)</f>
        <v>19970610</v>
      </c>
      <c r="E2" s="5">
        <f>2024-MID(C2,7,4)</f>
        <v>27</v>
      </c>
      <c r="F2" s="5" t="str">
        <f>IF(OR(LEN(C2)=15,LEN(C2)=18),IF(MOD(MID(C2,15,3)*1,2),"男","女"),#N/A)</f>
        <v>女</v>
      </c>
    </row>
    <row r="3" s="1" customFormat="1" ht="20" customHeight="1" spans="1:6">
      <c r="A3" s="6">
        <v>2</v>
      </c>
      <c r="B3" s="6" t="s">
        <v>8</v>
      </c>
      <c r="C3" s="8" t="s">
        <v>9</v>
      </c>
      <c r="D3" s="6" t="str">
        <f>MID(C3,7,8)</f>
        <v>20030315</v>
      </c>
      <c r="E3" s="6">
        <f>2025-MID(C3,7,4)</f>
        <v>22</v>
      </c>
      <c r="F3" s="6" t="str">
        <f>IF(OR(LEN(C3)=15,LEN(C3)=18),IF(MOD(MID(C3,15,3)*1,2),"男","女"),#N/A)</f>
        <v>男</v>
      </c>
    </row>
    <row r="4" s="1" customFormat="1" ht="20" customHeight="1" spans="1:6">
      <c r="A4" s="5">
        <v>3</v>
      </c>
      <c r="B4" s="5" t="s">
        <v>10</v>
      </c>
      <c r="C4" s="7" t="s">
        <v>11</v>
      </c>
      <c r="D4" s="5" t="str">
        <f t="shared" ref="D4:D17" si="0">MID(C4,7,8)</f>
        <v>19981231</v>
      </c>
      <c r="E4" s="5">
        <f t="shared" ref="E4:E17" si="1">2025-MID(C4,7,4)</f>
        <v>27</v>
      </c>
      <c r="F4" s="5" t="str">
        <f>IF(OR(LEN(C4)=15,LEN(C4)=18),IF(MOD(MID(C4,15,3)*1,2),"男","女"),#N/A)</f>
        <v>男</v>
      </c>
    </row>
    <row r="5" s="1" customFormat="1" ht="20" customHeight="1" spans="1:6">
      <c r="A5" s="6">
        <v>4</v>
      </c>
      <c r="B5" s="6" t="s">
        <v>12</v>
      </c>
      <c r="C5" s="8" t="s">
        <v>13</v>
      </c>
      <c r="D5" s="6" t="str">
        <f t="shared" si="0"/>
        <v>19750806</v>
      </c>
      <c r="E5" s="6">
        <f t="shared" si="1"/>
        <v>50</v>
      </c>
      <c r="F5" s="6" t="str">
        <f t="shared" ref="F5:F17" si="2">IF(OR(LEN(C5)=15,LEN(C5)=18),IF(MOD(MID(C5,15,3)*1,2),"男","女"),#N/A)</f>
        <v>女</v>
      </c>
    </row>
    <row r="6" s="1" customFormat="1" ht="20" customHeight="1" spans="1:6">
      <c r="A6" s="5">
        <v>5</v>
      </c>
      <c r="B6" s="5" t="s">
        <v>14</v>
      </c>
      <c r="C6" s="7" t="s">
        <v>15</v>
      </c>
      <c r="D6" s="5" t="str">
        <f t="shared" si="0"/>
        <v>19870623</v>
      </c>
      <c r="E6" s="5">
        <f t="shared" si="1"/>
        <v>38</v>
      </c>
      <c r="F6" s="5" t="str">
        <f t="shared" si="2"/>
        <v>男</v>
      </c>
    </row>
    <row r="7" s="1" customFormat="1" ht="20" customHeight="1" spans="1:6">
      <c r="A7" s="6">
        <v>6</v>
      </c>
      <c r="B7" s="6" t="s">
        <v>16</v>
      </c>
      <c r="C7" s="8" t="s">
        <v>17</v>
      </c>
      <c r="D7" s="6" t="str">
        <f t="shared" si="0"/>
        <v>19990120</v>
      </c>
      <c r="E7" s="6">
        <f t="shared" si="1"/>
        <v>26</v>
      </c>
      <c r="F7" s="6" t="str">
        <f t="shared" si="2"/>
        <v>女</v>
      </c>
    </row>
    <row r="8" s="1" customFormat="1" ht="20" customHeight="1" spans="1:6">
      <c r="A8" s="5">
        <v>7</v>
      </c>
      <c r="B8" s="5" t="s">
        <v>18</v>
      </c>
      <c r="C8" s="7" t="s">
        <v>19</v>
      </c>
      <c r="D8" s="5" t="str">
        <f t="shared" si="0"/>
        <v>19941217</v>
      </c>
      <c r="E8" s="5">
        <f t="shared" si="1"/>
        <v>31</v>
      </c>
      <c r="F8" s="5" t="str">
        <f t="shared" si="2"/>
        <v>男</v>
      </c>
    </row>
    <row r="9" s="1" customFormat="1" ht="20" customHeight="1" spans="1:6">
      <c r="A9" s="6">
        <v>8</v>
      </c>
      <c r="B9" s="6" t="s">
        <v>20</v>
      </c>
      <c r="C9" s="8" t="s">
        <v>21</v>
      </c>
      <c r="D9" s="6" t="str">
        <f t="shared" si="0"/>
        <v>20020302</v>
      </c>
      <c r="E9" s="6">
        <f t="shared" si="1"/>
        <v>23</v>
      </c>
      <c r="F9" s="6" t="str">
        <f t="shared" si="2"/>
        <v>女</v>
      </c>
    </row>
    <row r="10" s="1" customFormat="1" ht="20" customHeight="1" spans="1:6">
      <c r="A10" s="5">
        <v>9</v>
      </c>
      <c r="B10" s="5" t="s">
        <v>22</v>
      </c>
      <c r="C10" s="7" t="s">
        <v>23</v>
      </c>
      <c r="D10" s="5" t="str">
        <f t="shared" si="0"/>
        <v>19860805</v>
      </c>
      <c r="E10" s="5">
        <f t="shared" si="1"/>
        <v>39</v>
      </c>
      <c r="F10" s="5" t="str">
        <f t="shared" si="2"/>
        <v>男</v>
      </c>
    </row>
    <row r="11" s="1" customFormat="1" ht="20" customHeight="1" spans="1:6">
      <c r="A11" s="6">
        <v>10</v>
      </c>
      <c r="B11" s="6" t="s">
        <v>24</v>
      </c>
      <c r="C11" s="8" t="s">
        <v>25</v>
      </c>
      <c r="D11" s="6" t="str">
        <f t="shared" si="0"/>
        <v>19911016</v>
      </c>
      <c r="E11" s="6">
        <f t="shared" si="1"/>
        <v>34</v>
      </c>
      <c r="F11" s="6" t="str">
        <f t="shared" si="2"/>
        <v>女</v>
      </c>
    </row>
    <row r="12" s="1" customFormat="1" ht="20" customHeight="1" spans="1:6">
      <c r="A12" s="5">
        <v>11</v>
      </c>
      <c r="B12" s="5" t="s">
        <v>26</v>
      </c>
      <c r="C12" s="7" t="s">
        <v>27</v>
      </c>
      <c r="D12" s="5" t="str">
        <f t="shared" si="0"/>
        <v>19970809</v>
      </c>
      <c r="E12" s="5">
        <f t="shared" si="1"/>
        <v>28</v>
      </c>
      <c r="F12" s="5" t="str">
        <f t="shared" si="2"/>
        <v>男</v>
      </c>
    </row>
    <row r="13" s="1" customFormat="1" ht="20" customHeight="1" spans="1:6">
      <c r="A13" s="6">
        <v>12</v>
      </c>
      <c r="B13" s="6" t="s">
        <v>28</v>
      </c>
      <c r="C13" s="8" t="s">
        <v>29</v>
      </c>
      <c r="D13" s="6" t="str">
        <f t="shared" si="0"/>
        <v>19950109</v>
      </c>
      <c r="E13" s="6">
        <f t="shared" si="1"/>
        <v>30</v>
      </c>
      <c r="F13" s="6" t="str">
        <f t="shared" si="2"/>
        <v>女</v>
      </c>
    </row>
    <row r="14" s="1" customFormat="1" ht="20" customHeight="1" spans="1:6">
      <c r="A14" s="5">
        <v>13</v>
      </c>
      <c r="B14" s="5" t="s">
        <v>30</v>
      </c>
      <c r="C14" s="7" t="s">
        <v>31</v>
      </c>
      <c r="D14" s="5" t="str">
        <f t="shared" si="0"/>
        <v>19990509</v>
      </c>
      <c r="E14" s="5">
        <f t="shared" si="1"/>
        <v>26</v>
      </c>
      <c r="F14" s="5" t="str">
        <f t="shared" si="2"/>
        <v>女</v>
      </c>
    </row>
    <row r="15" s="1" customFormat="1" ht="20" customHeight="1" spans="1:6">
      <c r="A15" s="6">
        <v>14</v>
      </c>
      <c r="B15" s="6" t="s">
        <v>32</v>
      </c>
      <c r="C15" s="8" t="s">
        <v>33</v>
      </c>
      <c r="D15" s="6" t="str">
        <f t="shared" si="0"/>
        <v>19880711</v>
      </c>
      <c r="E15" s="6">
        <f t="shared" si="1"/>
        <v>37</v>
      </c>
      <c r="F15" s="6" t="str">
        <f t="shared" si="2"/>
        <v>女</v>
      </c>
    </row>
    <row r="16" s="1" customFormat="1" ht="20" customHeight="1" spans="1:6">
      <c r="A16" s="5">
        <v>15</v>
      </c>
      <c r="B16" s="5" t="s">
        <v>34</v>
      </c>
      <c r="C16" s="7" t="s">
        <v>35</v>
      </c>
      <c r="D16" s="5" t="str">
        <f t="shared" si="0"/>
        <v>19870829</v>
      </c>
      <c r="E16" s="5">
        <f t="shared" si="1"/>
        <v>38</v>
      </c>
      <c r="F16" s="5" t="str">
        <f t="shared" si="2"/>
        <v>女</v>
      </c>
    </row>
    <row r="17" s="1" customFormat="1" ht="20" customHeight="1" spans="1:6">
      <c r="A17" s="6">
        <v>16</v>
      </c>
      <c r="B17" s="6" t="s">
        <v>36</v>
      </c>
      <c r="C17" s="8" t="s">
        <v>37</v>
      </c>
      <c r="D17" s="6" t="str">
        <f t="shared" si="0"/>
        <v>19880710</v>
      </c>
      <c r="E17" s="6">
        <f t="shared" si="1"/>
        <v>37</v>
      </c>
      <c r="F17" s="6" t="str">
        <f t="shared" si="2"/>
        <v>女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平安幸福</cp:lastModifiedBy>
  <dcterms:created xsi:type="dcterms:W3CDTF">2024-06-07T10:53:00Z</dcterms:created>
  <dcterms:modified xsi:type="dcterms:W3CDTF">2025-08-28T20:22:13Z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E265BB80DDD640D6B470B69B20A9FEB0_13</vt:lpwstr>
  </property>
  <property fmtid="{D5CDD505-2E9C-101B-9397-08002B2CF9AE}" pid="3" name="KSOProductBuildVer">
    <vt:lpwstr>2052-12.1.22553.22553</vt:lpwstr>
  </property>
</Properties>
</file>